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41cd74e148edc7/Desktop/ARUN/New folder/FNB16 - Assignments/Excel assigment 2/"/>
    </mc:Choice>
  </mc:AlternateContent>
  <xr:revisionPtr revIDLastSave="0" documentId="8_{FC4458D0-E87E-4247-95AC-0CC2B2E50703}" xr6:coauthVersionLast="47" xr6:coauthVersionMax="47" xr10:uidLastSave="{00000000-0000-0000-0000-000000000000}"/>
  <bookViews>
    <workbookView xWindow="-108" yWindow="-108" windowWidth="23256" windowHeight="12456" xr2:uid="{222878EB-B916-4579-A4A6-C119DEEA419C}"/>
  </bookViews>
  <sheets>
    <sheet name="Sheet1" sheetId="1" r:id="rId1"/>
  </sheets>
  <definedNames>
    <definedName name="_xlnm._FilterDatabase" localSheetId="0" hidden="1">Sheet1!$A$1:$F$35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2" i="1" l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41" i="1"/>
  <c r="M5" i="1"/>
  <c r="M4" i="1"/>
</calcChain>
</file>

<file path=xl/sharedStrings.xml><?xml version="1.0" encoding="utf-8"?>
<sst xmlns="http://schemas.openxmlformats.org/spreadsheetml/2006/main" count="411" uniqueCount="157">
  <si>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</si>
  <si>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</si>
  <si>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</si>
  <si>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</si>
  <si>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</si>
  <si>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</si>
  <si>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</si>
  <si>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</si>
  <si>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</si>
  <si>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</si>
  <si>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</si>
  <si>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</si>
  <si>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</si>
  <si>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</si>
  <si>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</si>
  <si>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</si>
  <si>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</si>
  <si>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</si>
  <si>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</si>
  <si>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</si>
  <si>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</si>
  <si>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</si>
  <si>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</si>
  <si>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</si>
  <si>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</si>
  <si>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</si>
  <si>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</si>
  <si>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</si>
  <si>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</si>
  <si>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</si>
  <si>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</si>
  <si>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</si>
  <si>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</si>
  <si>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</si>
  <si>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</si>
  <si>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</si>
  <si>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</si>
  <si>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</si>
  <si>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</si>
  <si>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</si>
  <si>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</si>
  <si>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</si>
  <si>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</si>
  <si>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</si>
  <si>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</si>
  <si>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</si>
  <si>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</si>
  <si>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</si>
  <si>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</si>
  <si>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</si>
  <si>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</si>
  <si>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</si>
  <si>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</si>
  <si>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</si>
  <si>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</si>
  <si>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</si>
  <si>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</si>
  <si>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</si>
  <si>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</si>
  <si>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</si>
  <si>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</si>
  <si>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</si>
  <si>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</si>
  <si>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</si>
  <si>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</si>
  <si>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</si>
  <si>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</si>
  <si>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</si>
  <si>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</si>
  <si>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</si>
  <si>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</si>
  <si>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</si>
  <si>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</si>
  <si>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</si>
  <si>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</si>
  <si>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</si>
  <si>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</si>
  <si>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</si>
  <si>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</si>
  <si>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</si>
  <si>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</si>
  <si>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</si>
  <si>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</si>
  <si>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</si>
  <si>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</si>
  <si>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</si>
  <si>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</si>
  <si>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</si>
  <si>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</si>
  <si>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</si>
  <si>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</si>
  <si>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</si>
  <si>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</si>
  <si>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Handling Missing Values:</t>
  </si>
  <si>
    <t>Count</t>
  </si>
  <si>
    <t>CountA</t>
  </si>
  <si>
    <t>There is no missing values in price &amp; Category column</t>
  </si>
  <si>
    <t>2. Correcting Inconsistent Data:</t>
  </si>
  <si>
    <t xml:space="preserve">Formula </t>
  </si>
  <si>
    <t>Identify any inconsistent text formats present in the "Product Name" column.</t>
  </si>
  <si>
    <t>Identify any typos present in the "Category" column.</t>
  </si>
  <si>
    <t>Result</t>
  </si>
  <si>
    <t>There is no inconsistent text formats present in the "Product Name" column. If any inconsistenttext forment present in data, We can use Trim &amp; clean function to correct the data</t>
  </si>
  <si>
    <t>Trim(Clean(B2:B35))</t>
  </si>
  <si>
    <t>Use the find and replace function to standardize the text formats in the "Product Name" column and fix any typos or misspellings in the "Category" column.</t>
  </si>
  <si>
    <t>Proper(B2:B35)</t>
  </si>
  <si>
    <t>There is no typo error in Category coulmn, If any typo error in that data, we can use Proper Function to fix the data</t>
  </si>
  <si>
    <t>Formula Ctrl+H</t>
  </si>
  <si>
    <t>There is no typo error in Product Name &amp; Category coulmn, If any typo error in those data, we can use Find &amp; replcae Function to fix the data</t>
  </si>
  <si>
    <t>Identify any duplicate rows within the dataset based on the entirety of each row, and remove them if any.</t>
  </si>
  <si>
    <t xml:space="preserve">3. Removing Duplicates: </t>
  </si>
  <si>
    <t>There are 3 duplicate data found in product ID column by using contiional format to identify the duplicate data</t>
  </si>
  <si>
    <t>Duplicate removed date:</t>
  </si>
  <si>
    <t>4. Splitting and Merging Data:</t>
  </si>
  <si>
    <t>Split the "Product ID" column into two separate columns for " Manufacturing Date" and "Country Code". Remove unnecessary characters, if any</t>
  </si>
  <si>
    <t>Manufacturing Date</t>
  </si>
  <si>
    <t>Country Code</t>
  </si>
  <si>
    <t>Formula</t>
  </si>
  <si>
    <t>Left(A41,6)</t>
  </si>
  <si>
    <t>Right(A41,2)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</si>
  <si>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</si>
  <si>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</si>
  <si>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</si>
  <si>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</si>
  <si>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</si>
  <si>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</si>
  <si>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</si>
  <si>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</si>
  <si>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</si>
  <si>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</si>
  <si>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</si>
  <si>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</si>
  <si>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</si>
  <si>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</si>
  <si>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</si>
  <si>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</si>
  <si>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</si>
  <si>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</si>
  <si>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</si>
  <si>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</si>
  <si>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</si>
  <si>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</si>
  <si>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</si>
  <si>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</si>
  <si>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Date</t>
  </si>
  <si>
    <t>Month</t>
  </si>
  <si>
    <t>Country code</t>
  </si>
  <si>
    <t>we can use "Text to column" &amp; use delimited, select space and  enter "-" in others to split the columns</t>
  </si>
  <si>
    <t>Merge the "Brand Name" and "Product Name" columns into one column named "Product Brand".</t>
  </si>
  <si>
    <t>Product Brand</t>
  </si>
  <si>
    <t>TextJoin(" ", TRUE, B41,C41)</t>
  </si>
  <si>
    <t>5. Number Formatting:</t>
  </si>
  <si>
    <t>Changed the Format from General to Currency in column B41 to B71</t>
  </si>
  <si>
    <t>6. Conditional Formatting:</t>
  </si>
  <si>
    <t>Applied color scales conditional formatting in the "Price" column (D41 to D71)</t>
  </si>
  <si>
    <t>Created a custom rule for conditional formatting in the "Category" column to highlight cells where the category is "Electronics." in column F41 to F71</t>
  </si>
  <si>
    <t>Changed the Format in "Manufacturing Date" column as DATE format H41 to H71.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</si>
</sst>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$-C09]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rgb="FF4DD0E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/>
    <xf numFmtId="0" fontId="1" fillId="0" borderId="0" xfId="0" applyFont="1"/>
    <xf numFmtId="0" fontId="0" fillId="0" borderId="0" xfId="0" applyFont="1"/>
    <xf numFmtId="0" fontId="0" fillId="0" borderId="1" xfId="0" applyBorder="1"/>
    <xf numFmtId="0" fontId="1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3" fillId="0" borderId="1" xfId="0" applyFont="1" applyBorder="1"/>
    <xf numFmtId="0" fontId="3" fillId="3" borderId="1" xfId="0" applyFont="1" applyFill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1" xfId="0" applyBorder="1" applyAlignment="1"/>
    <xf numFmtId="0" fontId="1" fillId="6" borderId="1" xfId="0" applyFont="1" applyFill="1" applyBorder="1" applyAlignment="1"/>
    <xf numFmtId="0" fontId="1" fillId="6" borderId="1" xfId="0" applyFont="1" applyFill="1" applyBorder="1"/>
    <xf numFmtId="169" fontId="3" fillId="0" borderId="1" xfId="0" applyNumberFormat="1" applyFont="1" applyBorder="1"/>
    <xf numFmtId="169" fontId="3" fillId="3" borderId="1" xfId="0" applyNumberFormat="1" applyFont="1" applyFill="1" applyBorder="1"/>
    <xf numFmtId="14" fontId="0" fillId="0" borderId="1" xfId="0" applyNumberFormat="1" applyBorder="1"/>
  </cellXfs>
  <cellStyles count="1">
    <cellStyle name="Normal" xfId="0" builtinId="0"/>
  </cellStyles>
  <dxfs count="4"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8295-12BC-44DA-9C31-9F690FAB071E}">
  <dimension ref="A1:U71"/>
  <sheetViews>
    <sheetView tabSelected="1" topLeftCell="B32" workbookViewId="0">
      <selection activeCell="U17" sqref="U17"/>
    </sheetView>
  </sheetViews>
  <sheetFormatPr defaultRowHeight="14.4" x14ac:dyDescent="0.3"/>
  <cols>
    <col min="1" max="1" width="14.77734375" bestFit="1" customWidth="1"/>
    <col min="2" max="2" width="18" bestFit="1" customWidth="1"/>
    <col min="3" max="3" width="16.21875" bestFit="1" customWidth="1"/>
    <col min="4" max="4" width="12.77734375" bestFit="1" customWidth="1"/>
    <col min="5" max="5" width="12.88671875" bestFit="1" customWidth="1"/>
    <col min="6" max="6" width="13.44140625" bestFit="1" customWidth="1"/>
    <col min="8" max="8" width="18.21875" bestFit="1" customWidth="1"/>
    <col min="9" max="9" width="13.33203125" bestFit="1" customWidth="1"/>
    <col min="12" max="12" width="10.33203125" bestFit="1" customWidth="1"/>
    <col min="13" max="13" width="12.5546875" bestFit="1" customWidth="1"/>
    <col min="14" max="14" width="11" bestFit="1" customWidth="1"/>
    <col min="15" max="15" width="7.6640625" bestFit="1" customWidth="1"/>
    <col min="16" max="16" width="7.6640625" customWidth="1"/>
    <col min="17" max="17" width="20.88671875" bestFit="1" customWidth="1"/>
    <col min="18" max="18" width="16.77734375" bestFit="1" customWidth="1"/>
    <col min="19" max="19" width="60.44140625" customWidth="1"/>
    <col min="22" max="22" width="22.88671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1" x14ac:dyDescent="0.3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L2" s="4" t="s">
        <v>93</v>
      </c>
      <c r="T2" s="4" t="s">
        <v>113</v>
      </c>
    </row>
    <row r="3" spans="1:21" x14ac:dyDescent="0.3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21" x14ac:dyDescent="0.3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L4" t="s">
        <v>94</v>
      </c>
      <c r="M4">
        <f>COUNT(D2:D35)</f>
        <v>34</v>
      </c>
      <c r="T4" s="4" t="s">
        <v>114</v>
      </c>
    </row>
    <row r="5" spans="1:21" x14ac:dyDescent="0.3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L5" t="s">
        <v>95</v>
      </c>
      <c r="M5">
        <f>COUNTA(F2:F35)</f>
        <v>34</v>
      </c>
    </row>
    <row r="6" spans="1:21" x14ac:dyDescent="0.3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L6" t="s">
        <v>101</v>
      </c>
      <c r="M6" t="s">
        <v>96</v>
      </c>
      <c r="T6" t="s">
        <v>117</v>
      </c>
      <c r="U6" t="s">
        <v>118</v>
      </c>
    </row>
    <row r="7" spans="1:21" x14ac:dyDescent="0.3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T7" t="s">
        <v>117</v>
      </c>
      <c r="U7" s="6" t="s">
        <v>119</v>
      </c>
    </row>
    <row r="8" spans="1:21" x14ac:dyDescent="0.3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T8" t="s">
        <v>117</v>
      </c>
      <c r="U8" t="s">
        <v>147</v>
      </c>
    </row>
    <row r="9" spans="1:21" x14ac:dyDescent="0.3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L9" s="4" t="s">
        <v>97</v>
      </c>
    </row>
    <row r="10" spans="1:21" x14ac:dyDescent="0.3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T10" s="4" t="s">
        <v>148</v>
      </c>
    </row>
    <row r="11" spans="1:21" x14ac:dyDescent="0.3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L11" s="4" t="s">
        <v>99</v>
      </c>
      <c r="T11" t="s">
        <v>117</v>
      </c>
    </row>
    <row r="12" spans="1:21" x14ac:dyDescent="0.3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J12" s="4"/>
      <c r="L12" t="s">
        <v>98</v>
      </c>
      <c r="M12" t="s">
        <v>103</v>
      </c>
      <c r="U12" t="s">
        <v>150</v>
      </c>
    </row>
    <row r="13" spans="1:21" x14ac:dyDescent="0.3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L13" s="5" t="s">
        <v>101</v>
      </c>
      <c r="M13" s="5" t="s">
        <v>102</v>
      </c>
    </row>
    <row r="14" spans="1:21" x14ac:dyDescent="0.3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T14" s="4" t="s">
        <v>151</v>
      </c>
    </row>
    <row r="15" spans="1:21" x14ac:dyDescent="0.3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L15" s="4" t="s">
        <v>100</v>
      </c>
    </row>
    <row r="16" spans="1:21" x14ac:dyDescent="0.3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T16" t="s">
        <v>152</v>
      </c>
    </row>
    <row r="17" spans="1:20" x14ac:dyDescent="0.3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L17" t="s">
        <v>98</v>
      </c>
      <c r="M17" t="s">
        <v>105</v>
      </c>
      <c r="T17" t="s">
        <v>156</v>
      </c>
    </row>
    <row r="18" spans="1:20" x14ac:dyDescent="0.3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L18" s="5" t="s">
        <v>101</v>
      </c>
      <c r="M18" s="5" t="s">
        <v>106</v>
      </c>
    </row>
    <row r="19" spans="1:20" x14ac:dyDescent="0.3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T19" s="4" t="s">
        <v>153</v>
      </c>
    </row>
    <row r="20" spans="1:20" x14ac:dyDescent="0.3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L20" s="4" t="s">
        <v>104</v>
      </c>
    </row>
    <row r="21" spans="1:20" x14ac:dyDescent="0.3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T21" t="s">
        <v>154</v>
      </c>
    </row>
    <row r="22" spans="1:20" x14ac:dyDescent="0.3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L22" t="s">
        <v>107</v>
      </c>
    </row>
    <row r="23" spans="1:20" x14ac:dyDescent="0.3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L23" s="5" t="s">
        <v>101</v>
      </c>
      <c r="M23" s="5" t="s">
        <v>108</v>
      </c>
      <c r="T23" t="s">
        <v>155</v>
      </c>
    </row>
    <row r="24" spans="1:20" x14ac:dyDescent="0.3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</row>
    <row r="25" spans="1:20" x14ac:dyDescent="0.3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L25" s="4" t="s">
        <v>110</v>
      </c>
    </row>
    <row r="26" spans="1:20" x14ac:dyDescent="0.3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</row>
    <row r="27" spans="1:20" x14ac:dyDescent="0.3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L27" s="4" t="s">
        <v>109</v>
      </c>
    </row>
    <row r="28" spans="1:20" x14ac:dyDescent="0.3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</row>
    <row r="29" spans="1:20" x14ac:dyDescent="0.3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L29" t="s">
        <v>111</v>
      </c>
    </row>
    <row r="30" spans="1:20" x14ac:dyDescent="0.3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</row>
    <row r="31" spans="1:20" x14ac:dyDescent="0.3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L31" s="7" t="s">
        <v>0</v>
      </c>
      <c r="M31" s="7" t="s">
        <v>1</v>
      </c>
      <c r="N31" s="7" t="s">
        <v>2</v>
      </c>
      <c r="O31" s="7" t="s">
        <v>3</v>
      </c>
      <c r="P31" s="7" t="s">
        <v>4</v>
      </c>
      <c r="Q31" s="7" t="s">
        <v>5</v>
      </c>
    </row>
    <row r="32" spans="1:20" x14ac:dyDescent="0.3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L32" s="6" t="s">
        <v>48</v>
      </c>
      <c r="M32" s="6" t="s">
        <v>26</v>
      </c>
      <c r="N32" s="6" t="s">
        <v>49</v>
      </c>
      <c r="O32" s="6">
        <v>250</v>
      </c>
      <c r="P32" s="6">
        <v>20</v>
      </c>
      <c r="Q32" s="6" t="s">
        <v>9</v>
      </c>
    </row>
    <row r="33" spans="1:17" x14ac:dyDescent="0.3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L33" s="6" t="s">
        <v>48</v>
      </c>
      <c r="M33" s="6" t="s">
        <v>26</v>
      </c>
      <c r="N33" s="6" t="s">
        <v>49</v>
      </c>
      <c r="O33" s="6">
        <v>230</v>
      </c>
      <c r="P33" s="6">
        <v>20</v>
      </c>
      <c r="Q33" s="6" t="s">
        <v>9</v>
      </c>
    </row>
    <row r="34" spans="1:17" x14ac:dyDescent="0.3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L34" s="6" t="s">
        <v>40</v>
      </c>
      <c r="M34" s="6" t="s">
        <v>7</v>
      </c>
      <c r="N34" s="6" t="s">
        <v>41</v>
      </c>
      <c r="O34" s="6">
        <v>950</v>
      </c>
      <c r="P34" s="6">
        <v>25</v>
      </c>
      <c r="Q34" s="6" t="s">
        <v>9</v>
      </c>
    </row>
    <row r="35" spans="1:17" x14ac:dyDescent="0.3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L35" s="6" t="s">
        <v>40</v>
      </c>
      <c r="M35" s="6" t="s">
        <v>7</v>
      </c>
      <c r="N35" s="6" t="s">
        <v>41</v>
      </c>
      <c r="O35" s="6">
        <v>950</v>
      </c>
      <c r="P35" s="6">
        <v>25</v>
      </c>
      <c r="Q35" s="6" t="s">
        <v>9</v>
      </c>
    </row>
    <row r="36" spans="1:17" x14ac:dyDescent="0.3">
      <c r="L36" s="6" t="s">
        <v>50</v>
      </c>
      <c r="M36" s="6" t="s">
        <v>51</v>
      </c>
      <c r="N36" s="6" t="s">
        <v>52</v>
      </c>
      <c r="O36" s="6">
        <v>50</v>
      </c>
      <c r="P36" s="6">
        <v>35</v>
      </c>
      <c r="Q36" s="6" t="s">
        <v>53</v>
      </c>
    </row>
    <row r="37" spans="1:17" x14ac:dyDescent="0.3">
      <c r="L37" s="6" t="s">
        <v>50</v>
      </c>
      <c r="M37" s="6" t="s">
        <v>51</v>
      </c>
      <c r="N37" s="6" t="s">
        <v>52</v>
      </c>
      <c r="O37" s="6">
        <v>50</v>
      </c>
      <c r="P37" s="6">
        <v>35</v>
      </c>
      <c r="Q37" s="6" t="s">
        <v>53</v>
      </c>
    </row>
    <row r="39" spans="1:17" ht="18" x14ac:dyDescent="0.35">
      <c r="A39" s="11" t="s">
        <v>112</v>
      </c>
      <c r="B39" s="12"/>
      <c r="C39" s="12"/>
      <c r="D39" s="12"/>
      <c r="E39" s="12"/>
      <c r="F39" s="13"/>
    </row>
    <row r="40" spans="1:17" x14ac:dyDescent="0.3">
      <c r="A40" s="8" t="s">
        <v>0</v>
      </c>
      <c r="B40" s="8" t="s">
        <v>1</v>
      </c>
      <c r="C40" s="8" t="s">
        <v>2</v>
      </c>
      <c r="D40" s="8" t="s">
        <v>3</v>
      </c>
      <c r="E40" s="8" t="s">
        <v>4</v>
      </c>
      <c r="F40" s="8" t="s">
        <v>5</v>
      </c>
      <c r="H40" s="14" t="s">
        <v>115</v>
      </c>
      <c r="I40" s="14" t="s">
        <v>116</v>
      </c>
      <c r="K40" s="16" t="s">
        <v>144</v>
      </c>
      <c r="L40" s="16" t="s">
        <v>145</v>
      </c>
      <c r="M40" s="16" t="s">
        <v>146</v>
      </c>
      <c r="Q40" s="17" t="s">
        <v>149</v>
      </c>
    </row>
    <row r="41" spans="1:17" x14ac:dyDescent="0.3">
      <c r="A41" s="9" t="s">
        <v>6</v>
      </c>
      <c r="B41" s="9" t="s">
        <v>7</v>
      </c>
      <c r="C41" s="9" t="s">
        <v>8</v>
      </c>
      <c r="D41" s="18">
        <v>1000</v>
      </c>
      <c r="E41" s="9">
        <v>30</v>
      </c>
      <c r="F41" s="9" t="s">
        <v>9</v>
      </c>
      <c r="H41" s="20" t="str">
        <f>LEFT(A41,6)</f>
        <v>28-JAN</v>
      </c>
      <c r="I41" s="6" t="str">
        <f>RIGHT(A41,2)</f>
        <v>US</v>
      </c>
      <c r="K41" s="15">
        <v>28</v>
      </c>
      <c r="L41" s="15" t="s">
        <v>120</v>
      </c>
      <c r="M41" s="15" t="s">
        <v>121</v>
      </c>
      <c r="Q41" s="6" t="str">
        <f>_xlfn.TEXTJOIN(" ",TRUE,B41,C41)</f>
        <v>Laptop Dell</v>
      </c>
    </row>
    <row r="42" spans="1:17" x14ac:dyDescent="0.3">
      <c r="A42" s="10" t="s">
        <v>10</v>
      </c>
      <c r="B42" s="10" t="s">
        <v>11</v>
      </c>
      <c r="C42" s="10" t="s">
        <v>12</v>
      </c>
      <c r="D42" s="19">
        <v>80</v>
      </c>
      <c r="E42" s="10">
        <v>15</v>
      </c>
      <c r="F42" s="10" t="s">
        <v>13</v>
      </c>
      <c r="H42" s="20" t="str">
        <f t="shared" ref="H42:H71" si="0">LEFT(A42,6)</f>
        <v>15-FEB</v>
      </c>
      <c r="I42" s="6" t="str">
        <f t="shared" ref="I42:I71" si="1">RIGHT(A42,2)</f>
        <v>US</v>
      </c>
      <c r="K42" s="15">
        <v>15</v>
      </c>
      <c r="L42" s="15" t="s">
        <v>122</v>
      </c>
      <c r="M42" s="15" t="s">
        <v>121</v>
      </c>
      <c r="Q42" s="6" t="str">
        <f t="shared" ref="Q42:Q71" si="2">_xlfn.TEXTJOIN(" ",TRUE,B42,C42)</f>
        <v>Sneakers Nike</v>
      </c>
    </row>
    <row r="43" spans="1:17" x14ac:dyDescent="0.3">
      <c r="A43" s="9" t="s">
        <v>14</v>
      </c>
      <c r="B43" s="9" t="s">
        <v>15</v>
      </c>
      <c r="C43" s="9" t="s">
        <v>16</v>
      </c>
      <c r="D43" s="18">
        <v>130</v>
      </c>
      <c r="E43" s="9">
        <v>40</v>
      </c>
      <c r="F43" s="9" t="s">
        <v>17</v>
      </c>
      <c r="H43" s="20" t="str">
        <f t="shared" si="0"/>
        <v>03-MAR</v>
      </c>
      <c r="I43" s="6" t="str">
        <f t="shared" si="1"/>
        <v>US</v>
      </c>
      <c r="K43" s="15">
        <v>3</v>
      </c>
      <c r="L43" s="15" t="s">
        <v>123</v>
      </c>
      <c r="M43" s="15" t="s">
        <v>121</v>
      </c>
      <c r="Q43" s="6" t="str">
        <f t="shared" si="2"/>
        <v>Coffee Maker Keurig</v>
      </c>
    </row>
    <row r="44" spans="1:17" x14ac:dyDescent="0.3">
      <c r="A44" s="10" t="s">
        <v>18</v>
      </c>
      <c r="B44" s="10" t="s">
        <v>19</v>
      </c>
      <c r="C44" s="10" t="s">
        <v>20</v>
      </c>
      <c r="D44" s="19">
        <v>900</v>
      </c>
      <c r="E44" s="10">
        <v>25</v>
      </c>
      <c r="F44" s="10" t="s">
        <v>9</v>
      </c>
      <c r="H44" s="20" t="str">
        <f t="shared" si="0"/>
        <v>11-APR</v>
      </c>
      <c r="I44" s="6" t="str">
        <f t="shared" si="1"/>
        <v>US</v>
      </c>
      <c r="K44" s="15">
        <v>11</v>
      </c>
      <c r="L44" s="15" t="s">
        <v>124</v>
      </c>
      <c r="M44" s="15" t="s">
        <v>121</v>
      </c>
      <c r="Q44" s="6" t="str">
        <f t="shared" si="2"/>
        <v>Smartphone Samsung</v>
      </c>
    </row>
    <row r="45" spans="1:17" x14ac:dyDescent="0.3">
      <c r="A45" s="9" t="s">
        <v>21</v>
      </c>
      <c r="B45" s="9" t="s">
        <v>22</v>
      </c>
      <c r="C45" s="9" t="s">
        <v>23</v>
      </c>
      <c r="D45" s="18">
        <v>70</v>
      </c>
      <c r="E45" s="9">
        <v>20</v>
      </c>
      <c r="F45" s="9" t="s">
        <v>24</v>
      </c>
      <c r="H45" s="20" t="str">
        <f t="shared" si="0"/>
        <v>22-MAY</v>
      </c>
      <c r="I45" s="6" t="str">
        <f t="shared" si="1"/>
        <v>US</v>
      </c>
      <c r="K45" s="15">
        <v>22</v>
      </c>
      <c r="L45" s="15" t="s">
        <v>125</v>
      </c>
      <c r="M45" s="15" t="s">
        <v>121</v>
      </c>
      <c r="Q45" s="6" t="str">
        <f t="shared" si="2"/>
        <v>Backpack North Face</v>
      </c>
    </row>
    <row r="46" spans="1:17" x14ac:dyDescent="0.3">
      <c r="A46" s="10" t="s">
        <v>25</v>
      </c>
      <c r="B46" s="10" t="s">
        <v>26</v>
      </c>
      <c r="C46" s="10" t="s">
        <v>27</v>
      </c>
      <c r="D46" s="19">
        <v>200</v>
      </c>
      <c r="E46" s="10">
        <v>45</v>
      </c>
      <c r="F46" s="10" t="s">
        <v>9</v>
      </c>
      <c r="H46" s="20" t="str">
        <f t="shared" si="0"/>
        <v>07-JUN</v>
      </c>
      <c r="I46" s="6" t="str">
        <f t="shared" si="1"/>
        <v>UK</v>
      </c>
      <c r="K46" s="15">
        <v>7</v>
      </c>
      <c r="L46" s="15" t="s">
        <v>126</v>
      </c>
      <c r="M46" s="15" t="s">
        <v>127</v>
      </c>
      <c r="Q46" s="6" t="str">
        <f t="shared" si="2"/>
        <v>Headphones Sony</v>
      </c>
    </row>
    <row r="47" spans="1:17" x14ac:dyDescent="0.3">
      <c r="A47" s="9" t="s">
        <v>28</v>
      </c>
      <c r="B47" s="9" t="s">
        <v>29</v>
      </c>
      <c r="C47" s="9" t="s">
        <v>30</v>
      </c>
      <c r="D47" s="18">
        <v>30</v>
      </c>
      <c r="E47" s="9">
        <v>5</v>
      </c>
      <c r="F47" s="9" t="s">
        <v>13</v>
      </c>
      <c r="H47" s="20" t="str">
        <f t="shared" si="0"/>
        <v>19-JUL</v>
      </c>
      <c r="I47" s="6" t="str">
        <f t="shared" si="1"/>
        <v>UK</v>
      </c>
      <c r="K47" s="15">
        <v>19</v>
      </c>
      <c r="L47" s="15" t="s">
        <v>128</v>
      </c>
      <c r="M47" s="15" t="s">
        <v>127</v>
      </c>
      <c r="Q47" s="6" t="str">
        <f t="shared" si="2"/>
        <v>T-shirt Adidas</v>
      </c>
    </row>
    <row r="48" spans="1:17" x14ac:dyDescent="0.3">
      <c r="A48" s="10" t="s">
        <v>31</v>
      </c>
      <c r="B48" s="10" t="s">
        <v>32</v>
      </c>
      <c r="C48" s="10" t="s">
        <v>33</v>
      </c>
      <c r="D48" s="19">
        <v>90</v>
      </c>
      <c r="E48" s="10">
        <v>35</v>
      </c>
      <c r="F48" s="10" t="s">
        <v>17</v>
      </c>
      <c r="H48" s="20" t="str">
        <f t="shared" si="0"/>
        <v>23-AUG</v>
      </c>
      <c r="I48" s="6" t="str">
        <f t="shared" si="1"/>
        <v>UK</v>
      </c>
      <c r="K48" s="15">
        <v>23</v>
      </c>
      <c r="L48" s="15" t="s">
        <v>129</v>
      </c>
      <c r="M48" s="15" t="s">
        <v>127</v>
      </c>
      <c r="Q48" s="6" t="str">
        <f t="shared" si="2"/>
        <v>Blender Ninja</v>
      </c>
    </row>
    <row r="49" spans="1:17" x14ac:dyDescent="0.3">
      <c r="A49" s="9" t="s">
        <v>34</v>
      </c>
      <c r="B49" s="9" t="s">
        <v>35</v>
      </c>
      <c r="C49" s="9" t="s">
        <v>36</v>
      </c>
      <c r="D49" s="18">
        <v>500</v>
      </c>
      <c r="E49" s="9">
        <v>50</v>
      </c>
      <c r="F49" s="9" t="s">
        <v>9</v>
      </c>
      <c r="H49" s="20" t="str">
        <f t="shared" si="0"/>
        <v>05-SEP</v>
      </c>
      <c r="I49" s="6" t="str">
        <f t="shared" si="1"/>
        <v>UK</v>
      </c>
      <c r="K49" s="15">
        <v>5</v>
      </c>
      <c r="L49" s="15" t="s">
        <v>130</v>
      </c>
      <c r="M49" s="15" t="s">
        <v>127</v>
      </c>
      <c r="Q49" s="6" t="str">
        <f t="shared" si="2"/>
        <v>Tablet Apple</v>
      </c>
    </row>
    <row r="50" spans="1:17" x14ac:dyDescent="0.3">
      <c r="A50" s="10" t="s">
        <v>37</v>
      </c>
      <c r="B50" s="10" t="s">
        <v>38</v>
      </c>
      <c r="C50" s="10" t="s">
        <v>39</v>
      </c>
      <c r="D50" s="19">
        <v>130</v>
      </c>
      <c r="E50" s="10">
        <v>10</v>
      </c>
      <c r="F50" s="10" t="s">
        <v>24</v>
      </c>
      <c r="H50" s="20" t="str">
        <f t="shared" si="0"/>
        <v>14-OCT</v>
      </c>
      <c r="I50" s="6" t="str">
        <f t="shared" si="1"/>
        <v>UK</v>
      </c>
      <c r="K50" s="15">
        <v>14</v>
      </c>
      <c r="L50" s="15" t="s">
        <v>131</v>
      </c>
      <c r="M50" s="15" t="s">
        <v>127</v>
      </c>
      <c r="Q50" s="6" t="str">
        <f t="shared" si="2"/>
        <v>Hiking Boots Timberland</v>
      </c>
    </row>
    <row r="51" spans="1:17" x14ac:dyDescent="0.3">
      <c r="A51" s="9" t="s">
        <v>40</v>
      </c>
      <c r="B51" s="9" t="s">
        <v>7</v>
      </c>
      <c r="C51" s="9" t="s">
        <v>41</v>
      </c>
      <c r="D51" s="18">
        <v>950</v>
      </c>
      <c r="E51" s="9">
        <v>25</v>
      </c>
      <c r="F51" s="9" t="s">
        <v>9</v>
      </c>
      <c r="H51" s="20" t="str">
        <f t="shared" si="0"/>
        <v>17-JUN</v>
      </c>
      <c r="I51" s="6" t="str">
        <f t="shared" si="1"/>
        <v>IN</v>
      </c>
      <c r="K51" s="15">
        <v>17</v>
      </c>
      <c r="L51" s="15" t="s">
        <v>126</v>
      </c>
      <c r="M51" s="15" t="s">
        <v>132</v>
      </c>
      <c r="Q51" s="6" t="str">
        <f t="shared" si="2"/>
        <v>Laptop HP</v>
      </c>
    </row>
    <row r="52" spans="1:17" x14ac:dyDescent="0.3">
      <c r="A52" s="10" t="s">
        <v>42</v>
      </c>
      <c r="B52" s="10" t="s">
        <v>11</v>
      </c>
      <c r="C52" s="10" t="s">
        <v>30</v>
      </c>
      <c r="D52" s="19">
        <v>90</v>
      </c>
      <c r="E52" s="10">
        <v>40</v>
      </c>
      <c r="F52" s="10" t="s">
        <v>13</v>
      </c>
      <c r="H52" s="20" t="str">
        <f t="shared" si="0"/>
        <v>25-NOV</v>
      </c>
      <c r="I52" s="6" t="str">
        <f t="shared" si="1"/>
        <v>AU</v>
      </c>
      <c r="K52" s="15">
        <v>25</v>
      </c>
      <c r="L52" s="15" t="s">
        <v>133</v>
      </c>
      <c r="M52" s="15" t="s">
        <v>134</v>
      </c>
      <c r="Q52" s="6" t="str">
        <f t="shared" si="2"/>
        <v>Sneakers Adidas</v>
      </c>
    </row>
    <row r="53" spans="1:17" x14ac:dyDescent="0.3">
      <c r="A53" s="9" t="s">
        <v>43</v>
      </c>
      <c r="B53" s="9" t="s">
        <v>15</v>
      </c>
      <c r="C53" s="9" t="s">
        <v>44</v>
      </c>
      <c r="D53" s="18">
        <v>120</v>
      </c>
      <c r="E53" s="9">
        <v>35</v>
      </c>
      <c r="F53" s="9" t="s">
        <v>17</v>
      </c>
      <c r="H53" s="20" t="str">
        <f t="shared" si="0"/>
        <v>08-DEC</v>
      </c>
      <c r="I53" s="6" t="str">
        <f t="shared" si="1"/>
        <v>DE</v>
      </c>
      <c r="K53" s="15">
        <v>8</v>
      </c>
      <c r="L53" s="15" t="s">
        <v>135</v>
      </c>
      <c r="M53" s="15" t="s">
        <v>136</v>
      </c>
      <c r="Q53" s="6" t="str">
        <f t="shared" si="2"/>
        <v>Coffee Maker Nespresso</v>
      </c>
    </row>
    <row r="54" spans="1:17" x14ac:dyDescent="0.3">
      <c r="A54" s="10" t="s">
        <v>45</v>
      </c>
      <c r="B54" s="10" t="s">
        <v>46</v>
      </c>
      <c r="C54" s="10" t="s">
        <v>47</v>
      </c>
      <c r="D54" s="19">
        <v>150</v>
      </c>
      <c r="E54" s="10">
        <v>15</v>
      </c>
      <c r="F54" s="10" t="s">
        <v>9</v>
      </c>
      <c r="H54" s="20" t="str">
        <f t="shared" si="0"/>
        <v>18-FEB</v>
      </c>
      <c r="I54" s="6" t="str">
        <f t="shared" si="1"/>
        <v>CA</v>
      </c>
      <c r="K54" s="15">
        <v>18</v>
      </c>
      <c r="L54" s="15" t="s">
        <v>122</v>
      </c>
      <c r="M54" s="15" t="s">
        <v>137</v>
      </c>
      <c r="Q54" s="6" t="str">
        <f t="shared" si="2"/>
        <v>Smartwatch Fitbit</v>
      </c>
    </row>
    <row r="55" spans="1:17" x14ac:dyDescent="0.3">
      <c r="A55" s="9" t="s">
        <v>48</v>
      </c>
      <c r="B55" s="9" t="s">
        <v>26</v>
      </c>
      <c r="C55" s="9" t="s">
        <v>49</v>
      </c>
      <c r="D55" s="18">
        <v>250</v>
      </c>
      <c r="E55" s="9">
        <v>20</v>
      </c>
      <c r="F55" s="9" t="s">
        <v>9</v>
      </c>
      <c r="H55" s="20" t="str">
        <f t="shared" si="0"/>
        <v>16-APR</v>
      </c>
      <c r="I55" s="6" t="str">
        <f t="shared" si="1"/>
        <v>ES</v>
      </c>
      <c r="K55" s="15">
        <v>16</v>
      </c>
      <c r="L55" s="15" t="s">
        <v>124</v>
      </c>
      <c r="M55" s="15" t="s">
        <v>138</v>
      </c>
      <c r="Q55" s="6" t="str">
        <f t="shared" si="2"/>
        <v>Headphones Bose</v>
      </c>
    </row>
    <row r="56" spans="1:17" x14ac:dyDescent="0.3">
      <c r="A56" s="10" t="s">
        <v>50</v>
      </c>
      <c r="B56" s="10" t="s">
        <v>51</v>
      </c>
      <c r="C56" s="10" t="s">
        <v>52</v>
      </c>
      <c r="D56" s="19">
        <v>50</v>
      </c>
      <c r="E56" s="10">
        <v>35</v>
      </c>
      <c r="F56" s="10" t="s">
        <v>53</v>
      </c>
      <c r="H56" s="20" t="str">
        <f t="shared" si="0"/>
        <v>21-AUG</v>
      </c>
      <c r="I56" s="6" t="str">
        <f t="shared" si="1"/>
        <v>CA</v>
      </c>
      <c r="K56" s="15">
        <v>21</v>
      </c>
      <c r="L56" s="15" t="s">
        <v>129</v>
      </c>
      <c r="M56" s="15" t="s">
        <v>137</v>
      </c>
      <c r="Q56" s="6" t="str">
        <f t="shared" si="2"/>
        <v>Laptop Bag Samsonite</v>
      </c>
    </row>
    <row r="57" spans="1:17" x14ac:dyDescent="0.3">
      <c r="A57" s="9" t="s">
        <v>54</v>
      </c>
      <c r="B57" s="9" t="s">
        <v>46</v>
      </c>
      <c r="C57" s="9" t="s">
        <v>55</v>
      </c>
      <c r="D57" s="18">
        <v>160</v>
      </c>
      <c r="E57" s="9">
        <v>15</v>
      </c>
      <c r="F57" s="9" t="s">
        <v>9</v>
      </c>
      <c r="H57" s="20" t="str">
        <f t="shared" si="0"/>
        <v>20-AUG</v>
      </c>
      <c r="I57" s="6" t="str">
        <f t="shared" si="1"/>
        <v>CN</v>
      </c>
      <c r="K57" s="15">
        <v>20</v>
      </c>
      <c r="L57" s="15" t="s">
        <v>129</v>
      </c>
      <c r="M57" s="15" t="s">
        <v>139</v>
      </c>
      <c r="Q57" s="6" t="str">
        <f t="shared" si="2"/>
        <v>Smartwatch Huawei</v>
      </c>
    </row>
    <row r="58" spans="1:17" x14ac:dyDescent="0.3">
      <c r="A58" s="10" t="s">
        <v>56</v>
      </c>
      <c r="B58" s="10" t="s">
        <v>7</v>
      </c>
      <c r="C58" s="10" t="s">
        <v>57</v>
      </c>
      <c r="D58" s="19">
        <v>980</v>
      </c>
      <c r="E58" s="10">
        <v>10</v>
      </c>
      <c r="F58" s="10" t="s">
        <v>9</v>
      </c>
      <c r="H58" s="20" t="str">
        <f t="shared" si="0"/>
        <v>27-JAN</v>
      </c>
      <c r="I58" s="6" t="str">
        <f t="shared" si="1"/>
        <v>IT</v>
      </c>
      <c r="K58" s="15">
        <v>27</v>
      </c>
      <c r="L58" s="15" t="s">
        <v>120</v>
      </c>
      <c r="M58" s="15" t="s">
        <v>140</v>
      </c>
      <c r="Q58" s="6" t="str">
        <f t="shared" si="2"/>
        <v>Laptop Asus</v>
      </c>
    </row>
    <row r="59" spans="1:17" x14ac:dyDescent="0.3">
      <c r="A59" s="9" t="s">
        <v>58</v>
      </c>
      <c r="B59" s="9" t="s">
        <v>59</v>
      </c>
      <c r="C59" s="9" t="s">
        <v>60</v>
      </c>
      <c r="D59" s="18">
        <v>150</v>
      </c>
      <c r="E59" s="9">
        <v>15</v>
      </c>
      <c r="F59" s="9" t="s">
        <v>13</v>
      </c>
      <c r="H59" s="20" t="str">
        <f t="shared" si="0"/>
        <v>01-MAR</v>
      </c>
      <c r="I59" s="6" t="str">
        <f t="shared" si="1"/>
        <v>UK</v>
      </c>
      <c r="K59" s="15">
        <v>1</v>
      </c>
      <c r="L59" s="15" t="s">
        <v>123</v>
      </c>
      <c r="M59" s="15" t="s">
        <v>127</v>
      </c>
      <c r="Q59" s="6" t="str">
        <f t="shared" si="2"/>
        <v>Sunglasses Oakley</v>
      </c>
    </row>
    <row r="60" spans="1:17" x14ac:dyDescent="0.3">
      <c r="A60" s="10" t="s">
        <v>61</v>
      </c>
      <c r="B60" s="10" t="s">
        <v>62</v>
      </c>
      <c r="C60" s="10" t="s">
        <v>63</v>
      </c>
      <c r="D60" s="19">
        <v>200</v>
      </c>
      <c r="E60" s="10">
        <v>10</v>
      </c>
      <c r="F60" s="10" t="s">
        <v>24</v>
      </c>
      <c r="H60" s="20" t="str">
        <f t="shared" si="0"/>
        <v>14-AUG</v>
      </c>
      <c r="I60" s="6" t="str">
        <f t="shared" si="1"/>
        <v>US</v>
      </c>
      <c r="K60" s="15">
        <v>14</v>
      </c>
      <c r="L60" s="15" t="s">
        <v>129</v>
      </c>
      <c r="M60" s="15" t="s">
        <v>121</v>
      </c>
      <c r="Q60" s="6" t="str">
        <f t="shared" si="2"/>
        <v>Camping Tent Coleman</v>
      </c>
    </row>
    <row r="61" spans="1:17" x14ac:dyDescent="0.3">
      <c r="A61" s="9" t="s">
        <v>64</v>
      </c>
      <c r="B61" s="9" t="s">
        <v>65</v>
      </c>
      <c r="C61" s="9" t="s">
        <v>66</v>
      </c>
      <c r="D61" s="18">
        <v>700</v>
      </c>
      <c r="E61" s="9">
        <v>50</v>
      </c>
      <c r="F61" s="9" t="s">
        <v>9</v>
      </c>
      <c r="H61" s="20" t="str">
        <f t="shared" si="0"/>
        <v>14-MAY</v>
      </c>
      <c r="I61" s="6" t="str">
        <f t="shared" si="1"/>
        <v>RU</v>
      </c>
      <c r="K61" s="15">
        <v>14</v>
      </c>
      <c r="L61" s="15" t="s">
        <v>125</v>
      </c>
      <c r="M61" s="15" t="s">
        <v>141</v>
      </c>
      <c r="Q61" s="6" t="str">
        <f t="shared" si="2"/>
        <v>Camera Nikon</v>
      </c>
    </row>
    <row r="62" spans="1:17" x14ac:dyDescent="0.3">
      <c r="A62" s="10" t="s">
        <v>67</v>
      </c>
      <c r="B62" s="10" t="s">
        <v>68</v>
      </c>
      <c r="C62" s="10" t="s">
        <v>69</v>
      </c>
      <c r="D62" s="19">
        <v>80</v>
      </c>
      <c r="E62" s="10">
        <v>20</v>
      </c>
      <c r="F62" s="10" t="s">
        <v>17</v>
      </c>
      <c r="H62" s="20" t="str">
        <f t="shared" si="0"/>
        <v>09-JAN</v>
      </c>
      <c r="I62" s="6" t="str">
        <f t="shared" si="1"/>
        <v>CA</v>
      </c>
      <c r="K62" s="15">
        <v>9</v>
      </c>
      <c r="L62" s="15" t="s">
        <v>120</v>
      </c>
      <c r="M62" s="15" t="s">
        <v>137</v>
      </c>
      <c r="Q62" s="6" t="str">
        <f t="shared" si="2"/>
        <v>Microwave Panasonic</v>
      </c>
    </row>
    <row r="63" spans="1:17" x14ac:dyDescent="0.3">
      <c r="A63" s="9" t="s">
        <v>70</v>
      </c>
      <c r="B63" s="9" t="s">
        <v>71</v>
      </c>
      <c r="C63" s="9" t="s">
        <v>72</v>
      </c>
      <c r="D63" s="18">
        <v>150</v>
      </c>
      <c r="E63" s="9">
        <v>30</v>
      </c>
      <c r="F63" s="9" t="s">
        <v>9</v>
      </c>
      <c r="H63" s="20" t="str">
        <f t="shared" si="0"/>
        <v>19-JUL</v>
      </c>
      <c r="I63" s="6" t="str">
        <f t="shared" si="1"/>
        <v>BR</v>
      </c>
      <c r="K63" s="15">
        <v>19</v>
      </c>
      <c r="L63" s="15" t="s">
        <v>128</v>
      </c>
      <c r="M63" s="15" t="s">
        <v>142</v>
      </c>
      <c r="Q63" s="6" t="str">
        <f t="shared" si="2"/>
        <v>Fitness Tracker Xiaomi</v>
      </c>
    </row>
    <row r="64" spans="1:17" x14ac:dyDescent="0.3">
      <c r="A64" s="9" t="s">
        <v>73</v>
      </c>
      <c r="B64" s="9" t="s">
        <v>19</v>
      </c>
      <c r="C64" s="9" t="s">
        <v>74</v>
      </c>
      <c r="D64" s="18">
        <v>800</v>
      </c>
      <c r="E64" s="9">
        <v>45</v>
      </c>
      <c r="F64" s="9" t="s">
        <v>9</v>
      </c>
      <c r="H64" s="20" t="str">
        <f t="shared" si="0"/>
        <v>29-SEP</v>
      </c>
      <c r="I64" s="6" t="str">
        <f t="shared" si="1"/>
        <v>CA</v>
      </c>
      <c r="K64" s="15">
        <v>29</v>
      </c>
      <c r="L64" s="15" t="s">
        <v>130</v>
      </c>
      <c r="M64" s="15" t="s">
        <v>137</v>
      </c>
      <c r="Q64" s="6" t="str">
        <f t="shared" si="2"/>
        <v>Smartphone Google</v>
      </c>
    </row>
    <row r="65" spans="1:17" x14ac:dyDescent="0.3">
      <c r="A65" s="10" t="s">
        <v>75</v>
      </c>
      <c r="B65" s="10" t="s">
        <v>59</v>
      </c>
      <c r="C65" s="10" t="s">
        <v>76</v>
      </c>
      <c r="D65" s="19">
        <v>130</v>
      </c>
      <c r="E65" s="10">
        <v>25</v>
      </c>
      <c r="F65" s="10" t="s">
        <v>13</v>
      </c>
      <c r="H65" s="20" t="str">
        <f t="shared" si="0"/>
        <v>03-JUN</v>
      </c>
      <c r="I65" s="6" t="str">
        <f t="shared" si="1"/>
        <v>CA</v>
      </c>
      <c r="K65" s="15">
        <v>3</v>
      </c>
      <c r="L65" s="15" t="s">
        <v>126</v>
      </c>
      <c r="M65" s="15" t="s">
        <v>137</v>
      </c>
      <c r="Q65" s="6" t="str">
        <f t="shared" si="2"/>
        <v>Sunglasses Ray-Ban</v>
      </c>
    </row>
    <row r="66" spans="1:17" x14ac:dyDescent="0.3">
      <c r="A66" s="9" t="s">
        <v>77</v>
      </c>
      <c r="B66" s="9" t="s">
        <v>32</v>
      </c>
      <c r="C66" s="9" t="s">
        <v>78</v>
      </c>
      <c r="D66" s="18">
        <v>400</v>
      </c>
      <c r="E66" s="9">
        <v>40</v>
      </c>
      <c r="F66" s="9" t="s">
        <v>17</v>
      </c>
      <c r="H66" s="20" t="str">
        <f t="shared" si="0"/>
        <v>11-JUL</v>
      </c>
      <c r="I66" s="6" t="str">
        <f t="shared" si="1"/>
        <v>CA</v>
      </c>
      <c r="K66" s="15">
        <v>11</v>
      </c>
      <c r="L66" s="15" t="s">
        <v>128</v>
      </c>
      <c r="M66" s="15" t="s">
        <v>137</v>
      </c>
      <c r="Q66" s="6" t="str">
        <f t="shared" si="2"/>
        <v>Blender Vitamix</v>
      </c>
    </row>
    <row r="67" spans="1:17" x14ac:dyDescent="0.3">
      <c r="A67" s="9" t="s">
        <v>79</v>
      </c>
      <c r="B67" s="9" t="s">
        <v>80</v>
      </c>
      <c r="C67" s="9" t="s">
        <v>81</v>
      </c>
      <c r="D67" s="18">
        <v>60</v>
      </c>
      <c r="E67" s="9">
        <v>30</v>
      </c>
      <c r="F67" s="9" t="s">
        <v>13</v>
      </c>
      <c r="H67" s="20" t="str">
        <f t="shared" si="0"/>
        <v>07-MAR</v>
      </c>
      <c r="I67" s="6" t="str">
        <f t="shared" si="1"/>
        <v>CA</v>
      </c>
      <c r="K67" s="15">
        <v>7</v>
      </c>
      <c r="L67" s="15" t="s">
        <v>123</v>
      </c>
      <c r="M67" s="15" t="s">
        <v>137</v>
      </c>
      <c r="Q67" s="6" t="str">
        <f t="shared" si="2"/>
        <v>Dress Zara</v>
      </c>
    </row>
    <row r="68" spans="1:17" x14ac:dyDescent="0.3">
      <c r="A68" s="10" t="s">
        <v>82</v>
      </c>
      <c r="B68" s="10" t="s">
        <v>83</v>
      </c>
      <c r="C68" s="10" t="s">
        <v>84</v>
      </c>
      <c r="D68" s="19">
        <v>40</v>
      </c>
      <c r="E68" s="10">
        <v>10</v>
      </c>
      <c r="F68" s="10" t="s">
        <v>17</v>
      </c>
      <c r="H68" s="20" t="str">
        <f t="shared" si="0"/>
        <v>13-APR</v>
      </c>
      <c r="I68" s="6" t="str">
        <f t="shared" si="1"/>
        <v>CA</v>
      </c>
      <c r="K68" s="15">
        <v>13</v>
      </c>
      <c r="L68" s="15" t="s">
        <v>124</v>
      </c>
      <c r="M68" s="15" t="s">
        <v>137</v>
      </c>
      <c r="Q68" s="6" t="str">
        <f t="shared" si="2"/>
        <v>Toaster Hamilton</v>
      </c>
    </row>
    <row r="69" spans="1:17" x14ac:dyDescent="0.3">
      <c r="A69" s="9" t="s">
        <v>85</v>
      </c>
      <c r="B69" s="9" t="s">
        <v>71</v>
      </c>
      <c r="C69" s="9" t="s">
        <v>86</v>
      </c>
      <c r="D69" s="18">
        <v>130</v>
      </c>
      <c r="E69" s="9">
        <v>5</v>
      </c>
      <c r="F69" s="9" t="s">
        <v>9</v>
      </c>
      <c r="H69" s="20" t="str">
        <f t="shared" si="0"/>
        <v>24-MAY</v>
      </c>
      <c r="I69" s="6" t="str">
        <f t="shared" si="1"/>
        <v>CA</v>
      </c>
      <c r="K69" s="15">
        <v>24</v>
      </c>
      <c r="L69" s="15" t="s">
        <v>125</v>
      </c>
      <c r="M69" s="15" t="s">
        <v>137</v>
      </c>
      <c r="Q69" s="6" t="str">
        <f t="shared" si="2"/>
        <v>Fitness Tracker Garmin</v>
      </c>
    </row>
    <row r="70" spans="1:17" x14ac:dyDescent="0.3">
      <c r="A70" s="10" t="s">
        <v>87</v>
      </c>
      <c r="B70" s="10" t="s">
        <v>88</v>
      </c>
      <c r="C70" s="10" t="s">
        <v>89</v>
      </c>
      <c r="D70" s="19">
        <v>50</v>
      </c>
      <c r="E70" s="10">
        <v>50</v>
      </c>
      <c r="F70" s="10" t="s">
        <v>13</v>
      </c>
      <c r="H70" s="20" t="str">
        <f t="shared" si="0"/>
        <v>02-DEC</v>
      </c>
      <c r="I70" s="6" t="str">
        <f t="shared" si="1"/>
        <v>CA</v>
      </c>
      <c r="K70" s="15">
        <v>2</v>
      </c>
      <c r="L70" s="15" t="s">
        <v>135</v>
      </c>
      <c r="M70" s="15" t="s">
        <v>137</v>
      </c>
      <c r="Q70" s="6" t="str">
        <f t="shared" si="2"/>
        <v>Jeans Levi's</v>
      </c>
    </row>
    <row r="71" spans="1:17" x14ac:dyDescent="0.3">
      <c r="A71" s="10" t="s">
        <v>90</v>
      </c>
      <c r="B71" s="10" t="s">
        <v>91</v>
      </c>
      <c r="C71" s="10" t="s">
        <v>92</v>
      </c>
      <c r="D71" s="19">
        <v>100</v>
      </c>
      <c r="E71" s="10">
        <v>20</v>
      </c>
      <c r="F71" s="10" t="s">
        <v>53</v>
      </c>
      <c r="H71" s="20" t="str">
        <f t="shared" si="0"/>
        <v>09-JUL</v>
      </c>
      <c r="I71" s="6" t="str">
        <f t="shared" si="1"/>
        <v>FR</v>
      </c>
      <c r="K71" s="15">
        <v>9</v>
      </c>
      <c r="L71" s="15" t="s">
        <v>128</v>
      </c>
      <c r="M71" s="15" t="s">
        <v>143</v>
      </c>
      <c r="Q71" s="6" t="str">
        <f t="shared" si="2"/>
        <v>Watch Casio</v>
      </c>
    </row>
  </sheetData>
  <sortState xmlns:xlrd2="http://schemas.microsoft.com/office/spreadsheetml/2017/richdata2" ref="L32:Q37">
    <sortCondition ref="L32:L37"/>
  </sortState>
  <mergeCells count="1">
    <mergeCell ref="A39:F39"/>
  </mergeCells>
  <conditionalFormatting sqref="A2:A35">
    <cfRule type="duplicateValues" dxfId="3" priority="5"/>
  </conditionalFormatting>
  <conditionalFormatting sqref="L32:L37">
    <cfRule type="duplicateValues" dxfId="2" priority="4"/>
  </conditionalFormatting>
  <conditionalFormatting sqref="A41:A71">
    <cfRule type="duplicateValues" dxfId="1" priority="3"/>
  </conditionalFormatting>
  <conditionalFormatting sqref="F40:F71">
    <cfRule type="cellIs" dxfId="0" priority="2" operator="equal">
      <formula>$F$41</formula>
    </cfRule>
  </conditionalFormatting>
  <conditionalFormatting sqref="D41:D7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2026-05-31T07:44:51Z</dcterms:created>
  <dcterms:modified xsi:type="dcterms:W3CDTF">2026-05-31T09:10:28Z</dcterms:modified>
</cp:coreProperties>
</file>